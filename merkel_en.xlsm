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ir1982\YandexDisk\ARABIA\"/>
    </mc:Choice>
  </mc:AlternateContent>
  <xr:revisionPtr revIDLastSave="0" documentId="13_ncr:1_{AE66CAF2-D0C0-4006-AF66-F26E119ED38C}" xr6:coauthVersionLast="47" xr6:coauthVersionMax="47" xr10:uidLastSave="{00000000-0000-0000-0000-000000000000}"/>
  <bookViews>
    <workbookView xWindow="-108" yWindow="-108" windowWidth="23256" windowHeight="13896" xr2:uid="{A346AE4C-5C05-4155-A85E-2F671D5A1AEA}"/>
  </bookViews>
  <sheets>
    <sheet name="MERKEL" sheetId="2" r:id="rId1"/>
    <sheet name="Abbrevation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2" l="1"/>
  <c r="O21" i="2"/>
  <c r="O20" i="2"/>
  <c r="O14" i="2"/>
  <c r="O15" i="2" s="1"/>
  <c r="O16" i="2" s="1"/>
  <c r="B14" i="2"/>
  <c r="B15" i="2" s="1"/>
  <c r="B16" i="2" s="1"/>
  <c r="B17" i="2" s="1"/>
  <c r="B18" i="2" s="1"/>
  <c r="F3" i="2"/>
  <c r="F8" i="2"/>
  <c r="K2" i="2"/>
  <c r="K3" i="2" s="1"/>
  <c r="N2" i="2" s="1"/>
  <c r="K5" i="2" s="1"/>
  <c r="G14" i="2" s="1"/>
  <c r="O17" i="2" l="1"/>
  <c r="O18" i="2" s="1"/>
  <c r="C14" i="2"/>
  <c r="D14" i="2" s="1"/>
  <c r="E14" i="2" s="1"/>
  <c r="F14" i="2"/>
  <c r="C15" i="2"/>
  <c r="D15" i="2" s="1"/>
  <c r="C16" i="2" l="1"/>
  <c r="D16" i="2" s="1"/>
  <c r="E15" i="2"/>
  <c r="F15" i="2"/>
  <c r="G15" i="2" s="1"/>
  <c r="C17" i="2" l="1"/>
  <c r="D17" i="2" s="1"/>
  <c r="E16" i="2"/>
  <c r="F16" i="2"/>
  <c r="G16" i="2" s="1"/>
  <c r="E17" i="2" l="1"/>
  <c r="F17" i="2"/>
  <c r="G17" i="2" s="1"/>
  <c r="F18" i="2" l="1"/>
  <c r="G18" i="2" s="1"/>
  <c r="C18" i="2"/>
  <c r="D18" i="2" s="1"/>
  <c r="E18" i="2" s="1"/>
  <c r="H18" i="2" l="1"/>
  <c r="I18" i="2" s="1"/>
  <c r="H16" i="2"/>
  <c r="I16" i="2" s="1"/>
  <c r="H17" i="2"/>
  <c r="I17" i="2" s="1"/>
  <c r="H14" i="2" l="1"/>
  <c r="I14" i="2" s="1"/>
  <c r="H15" i="2"/>
  <c r="I15" i="2" s="1"/>
  <c r="L13" i="2" l="1"/>
  <c r="L14" i="2" s="1"/>
</calcChain>
</file>

<file path=xl/sharedStrings.xml><?xml version="1.0" encoding="utf-8"?>
<sst xmlns="http://schemas.openxmlformats.org/spreadsheetml/2006/main" count="94" uniqueCount="81">
  <si>
    <t>LG</t>
  </si>
  <si>
    <t>C</t>
  </si>
  <si>
    <t>Thot</t>
  </si>
  <si>
    <t>Tcold</t>
  </si>
  <si>
    <t>RH</t>
  </si>
  <si>
    <t>T</t>
  </si>
  <si>
    <t>T1</t>
  </si>
  <si>
    <t>T2</t>
  </si>
  <si>
    <t>T3</t>
  </si>
  <si>
    <t>T4</t>
  </si>
  <si>
    <t>T5</t>
  </si>
  <si>
    <t>Hw</t>
  </si>
  <si>
    <t>Twb</t>
  </si>
  <si>
    <t>Pvs</t>
  </si>
  <si>
    <t>Ha</t>
  </si>
  <si>
    <t>W</t>
  </si>
  <si>
    <t>L</t>
  </si>
  <si>
    <t>Temp</t>
  </si>
  <si>
    <t>Pressure</t>
  </si>
  <si>
    <t/>
  </si>
  <si>
    <t>mmHg</t>
  </si>
  <si>
    <t>kPa</t>
  </si>
  <si>
    <t>Pv</t>
  </si>
  <si>
    <t>H</t>
  </si>
  <si>
    <t>CpAir</t>
  </si>
  <si>
    <t>CpWater</t>
  </si>
  <si>
    <t>Ev heat water</t>
  </si>
  <si>
    <t>kJ/kg</t>
  </si>
  <si>
    <t>t/h</t>
  </si>
  <si>
    <t>kg/c</t>
  </si>
  <si>
    <t>kg/kg</t>
  </si>
  <si>
    <t>kJ/kg/C</t>
  </si>
  <si>
    <t>CpVapor</t>
  </si>
  <si>
    <t>Wvs</t>
  </si>
  <si>
    <t>Hs</t>
  </si>
  <si>
    <t>Hs-Ha</t>
  </si>
  <si>
    <t>1/(Hs-Ha)</t>
  </si>
  <si>
    <t>NTU</t>
  </si>
  <si>
    <t>N</t>
  </si>
  <si>
    <t>Tw</t>
  </si>
  <si>
    <t>Hair_in</t>
  </si>
  <si>
    <t>DELTA</t>
  </si>
  <si>
    <t>Aproach</t>
  </si>
  <si>
    <t>Eff</t>
  </si>
  <si>
    <t>INPUT</t>
  </si>
  <si>
    <t>Cooling tower</t>
  </si>
  <si>
    <t>Water</t>
  </si>
  <si>
    <t>Air</t>
  </si>
  <si>
    <t xml:space="preserve">Air </t>
  </si>
  <si>
    <t>Constants</t>
  </si>
  <si>
    <t>Merkel integration</t>
  </si>
  <si>
    <t>Result</t>
  </si>
  <si>
    <t>Twb calculation</t>
  </si>
  <si>
    <r>
      <t>LG</t>
    </r>
    <r>
      <rPr>
        <sz val="11"/>
        <color theme="1"/>
        <rFont val="Aptos Narrow"/>
        <family val="2"/>
        <charset val="204"/>
        <scheme val="minor"/>
      </rPr>
      <t xml:space="preserve"> – Load Ratio / Air-Water Ratio</t>
    </r>
  </si>
  <si>
    <r>
      <t>L</t>
    </r>
    <r>
      <rPr>
        <sz val="11"/>
        <color theme="1"/>
        <rFont val="Aptos Narrow"/>
        <family val="2"/>
        <charset val="204"/>
        <scheme val="minor"/>
      </rPr>
      <t xml:space="preserve"> – Water Flow Rate (t/h – tonnes per hour)</t>
    </r>
  </si>
  <si>
    <r>
      <t>Thot</t>
    </r>
    <r>
      <rPr>
        <sz val="11"/>
        <color theme="1"/>
        <rFont val="Aptos Narrow"/>
        <family val="2"/>
        <charset val="204"/>
        <scheme val="minor"/>
      </rPr>
      <t xml:space="preserve"> – Hot Water Temperature (inlet)</t>
    </r>
  </si>
  <si>
    <r>
      <t>Tcold</t>
    </r>
    <r>
      <rPr>
        <sz val="11"/>
        <color theme="1"/>
        <rFont val="Aptos Narrow"/>
        <family val="2"/>
        <charset val="204"/>
        <scheme val="minor"/>
      </rPr>
      <t xml:space="preserve"> – Cold Water Temperature (outlet)</t>
    </r>
  </si>
  <si>
    <r>
      <t>Temp</t>
    </r>
    <r>
      <rPr>
        <sz val="11"/>
        <color theme="1"/>
        <rFont val="Aptos Narrow"/>
        <family val="2"/>
        <charset val="204"/>
        <scheme val="minor"/>
      </rPr>
      <t xml:space="preserve"> – Temperature</t>
    </r>
  </si>
  <si>
    <r>
      <t>RH</t>
    </r>
    <r>
      <rPr>
        <sz val="11"/>
        <color theme="1"/>
        <rFont val="Aptos Narrow"/>
        <family val="2"/>
        <charset val="204"/>
        <scheme val="minor"/>
      </rPr>
      <t xml:space="preserve"> – Relative Humidity (%)</t>
    </r>
  </si>
  <si>
    <r>
      <t>Pressure</t>
    </r>
    <r>
      <rPr>
        <sz val="11"/>
        <color theme="1"/>
        <rFont val="Aptos Narrow"/>
        <family val="2"/>
        <charset val="204"/>
        <scheme val="minor"/>
      </rPr>
      <t xml:space="preserve"> – Atmospheric Pressure (mmHg or kPa)</t>
    </r>
  </si>
  <si>
    <r>
      <t>Pvs</t>
    </r>
    <r>
      <rPr>
        <sz val="11"/>
        <color theme="1"/>
        <rFont val="Aptos Narrow"/>
        <family val="2"/>
        <charset val="204"/>
        <scheme val="minor"/>
      </rPr>
      <t xml:space="preserve"> – Saturation Vapor Pressure of Water (kPa)</t>
    </r>
  </si>
  <si>
    <r>
      <t>Pv</t>
    </r>
    <r>
      <rPr>
        <sz val="11"/>
        <color theme="1"/>
        <rFont val="Aptos Narrow"/>
        <family val="2"/>
        <charset val="204"/>
        <scheme val="minor"/>
      </rPr>
      <t xml:space="preserve"> – Partial Vapor Pressure (kPa)</t>
    </r>
  </si>
  <si>
    <r>
      <t>Twb</t>
    </r>
    <r>
      <rPr>
        <sz val="11"/>
        <color theme="1"/>
        <rFont val="Aptos Narrow"/>
        <family val="2"/>
        <charset val="204"/>
        <scheme val="minor"/>
      </rPr>
      <t xml:space="preserve"> – Wet Bulb Temperature (°C)</t>
    </r>
  </si>
  <si>
    <r>
      <t>H</t>
    </r>
    <r>
      <rPr>
        <sz val="11"/>
        <color theme="1"/>
        <rFont val="Aptos Narrow"/>
        <family val="2"/>
        <charset val="204"/>
        <scheme val="minor"/>
      </rPr>
      <t xml:space="preserve"> – Enthalpy (kJ/kg)</t>
    </r>
  </si>
  <si>
    <r>
      <t>CpWater</t>
    </r>
    <r>
      <rPr>
        <sz val="11"/>
        <color theme="1"/>
        <rFont val="Aptos Narrow"/>
        <family val="2"/>
        <charset val="204"/>
        <scheme val="minor"/>
      </rPr>
      <t xml:space="preserve"> – Specific Heat Capacity of Water (kJ/kg·°C)</t>
    </r>
  </si>
  <si>
    <r>
      <t>CpAir</t>
    </r>
    <r>
      <rPr>
        <sz val="11"/>
        <color theme="1"/>
        <rFont val="Aptos Narrow"/>
        <family val="2"/>
        <charset val="204"/>
        <scheme val="minor"/>
      </rPr>
      <t xml:space="preserve"> – Specific Heat Capacity of Air (kJ/kg·°C)</t>
    </r>
  </si>
  <si>
    <r>
      <t>CpVapor</t>
    </r>
    <r>
      <rPr>
        <sz val="11"/>
        <color theme="1"/>
        <rFont val="Aptos Narrow"/>
        <family val="2"/>
        <charset val="204"/>
        <scheme val="minor"/>
      </rPr>
      <t xml:space="preserve"> – Specific Heat Capacity of Water Vapor (kJ/kg·°C)</t>
    </r>
  </si>
  <si>
    <r>
      <t>Ev heat water</t>
    </r>
    <r>
      <rPr>
        <sz val="11"/>
        <color theme="1"/>
        <rFont val="Aptos Narrow"/>
        <family val="2"/>
        <charset val="204"/>
        <scheme val="minor"/>
      </rPr>
      <t xml:space="preserve"> – Latent Heat of Vaporization of Water (kJ/kg)</t>
    </r>
  </si>
  <si>
    <r>
      <t>Wvs</t>
    </r>
    <r>
      <rPr>
        <sz val="11"/>
        <color theme="1"/>
        <rFont val="Aptos Narrow"/>
        <family val="2"/>
        <charset val="204"/>
        <scheme val="minor"/>
      </rPr>
      <t xml:space="preserve"> – Humidity Ratio of Saturated Air (kg moisture/kg dry air)</t>
    </r>
  </si>
  <si>
    <r>
      <t>Hs</t>
    </r>
    <r>
      <rPr>
        <sz val="11"/>
        <color theme="1"/>
        <rFont val="Aptos Narrow"/>
        <family val="2"/>
        <charset val="204"/>
        <scheme val="minor"/>
      </rPr>
      <t xml:space="preserve"> – Enthalpy of Saturated Air (kJ/kg)</t>
    </r>
  </si>
  <si>
    <r>
      <t>Hw</t>
    </r>
    <r>
      <rPr>
        <sz val="11"/>
        <color theme="1"/>
        <rFont val="Aptos Narrow"/>
        <family val="2"/>
        <charset val="204"/>
        <scheme val="minor"/>
      </rPr>
      <t xml:space="preserve"> – Enthalpy of Water (kJ/kg)</t>
    </r>
  </si>
  <si>
    <r>
      <t>Ha</t>
    </r>
    <r>
      <rPr>
        <sz val="11"/>
        <color theme="1"/>
        <rFont val="Aptos Narrow"/>
        <family val="2"/>
        <charset val="204"/>
        <scheme val="minor"/>
      </rPr>
      <t xml:space="preserve"> – Enthalpy of Air (kJ/kg)</t>
    </r>
  </si>
  <si>
    <r>
      <t>Hs-Ha</t>
    </r>
    <r>
      <rPr>
        <sz val="11"/>
        <color theme="1"/>
        <rFont val="Aptos Narrow"/>
        <family val="2"/>
        <charset val="204"/>
        <scheme val="minor"/>
      </rPr>
      <t xml:space="preserve"> – Driving Force for Mass Transfer (kJ/kg)</t>
    </r>
  </si>
  <si>
    <r>
      <t>NTU</t>
    </r>
    <r>
      <rPr>
        <sz val="11"/>
        <color theme="1"/>
        <rFont val="Aptos Narrow"/>
        <family val="2"/>
        <charset val="204"/>
        <scheme val="minor"/>
      </rPr>
      <t xml:space="preserve"> – Number of Transfer Units</t>
    </r>
  </si>
  <si>
    <r>
      <t>Tw</t>
    </r>
    <r>
      <rPr>
        <sz val="11"/>
        <color theme="1"/>
        <rFont val="Aptos Narrow"/>
        <family val="2"/>
        <charset val="204"/>
        <scheme val="minor"/>
      </rPr>
      <t xml:space="preserve"> – Water Temperature (°C)</t>
    </r>
  </si>
  <si>
    <r>
      <t>Approach</t>
    </r>
    <r>
      <rPr>
        <sz val="11"/>
        <color theme="1"/>
        <rFont val="Aptos Narrow"/>
        <family val="2"/>
        <charset val="204"/>
        <scheme val="minor"/>
      </rPr>
      <t xml:space="preserve"> – Approach Temperature (Tcold - Twb) (°C)</t>
    </r>
  </si>
  <si>
    <r>
      <t>Eff</t>
    </r>
    <r>
      <rPr>
        <sz val="11"/>
        <color theme="1"/>
        <rFont val="Aptos Narrow"/>
        <family val="2"/>
        <charset val="204"/>
        <scheme val="minor"/>
      </rPr>
      <t xml:space="preserve"> – Cooling Tower Efficiency (%)</t>
    </r>
  </si>
  <si>
    <r>
      <t>W</t>
    </r>
    <r>
      <rPr>
        <sz val="11"/>
        <color theme="1"/>
        <rFont val="Aptos Narrow"/>
        <family val="2"/>
        <scheme val="minor"/>
      </rPr>
      <t xml:space="preserve"> - Humidity Ratio of  Air (kg moisture/kg dry air)</t>
    </r>
  </si>
  <si>
    <r>
      <t>C</t>
    </r>
    <r>
      <rPr>
        <sz val="11"/>
        <color theme="1"/>
        <rFont val="Aptos Narrow"/>
        <family val="2"/>
        <charset val="204"/>
        <scheme val="minor"/>
      </rPr>
      <t xml:space="preserve"> – NTU normalized to LG=1</t>
    </r>
  </si>
  <si>
    <t>Press button to calculate Twb, Approach, Efficacy</t>
  </si>
  <si>
    <t>Supplemental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</si>
</sst>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9" x14ac:knownFonts="1">
    <font>
      <sz val="11"/>
      <color theme="1"/>
      <name val="Aptos Narrow"/>
      <family val="2"/>
      <charset val="204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204"/>
      <scheme val="minor"/>
    </font>
    <font>
      <sz val="11"/>
      <name val="Aptos Narrow"/>
      <family val="2"/>
      <charset val="204"/>
      <scheme val="minor"/>
    </font>
    <font>
      <b/>
      <sz val="1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charset val="204"/>
      <scheme val="minor"/>
    </font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quotePrefix="1"/>
    <xf numFmtId="0" fontId="0" fillId="0" borderId="1" xfId="0" applyBorder="1"/>
    <xf numFmtId="2" fontId="0" fillId="0" borderId="1" xfId="0" applyNumberFormat="1" applyBorder="1"/>
    <xf numFmtId="0" fontId="0" fillId="0" borderId="2" xfId="0" applyBorder="1"/>
    <xf numFmtId="0" fontId="0" fillId="4" borderId="1" xfId="0" applyFill="1" applyBorder="1"/>
    <xf numFmtId="9" fontId="0" fillId="4" borderId="1" xfId="0" applyNumberFormat="1" applyFill="1" applyBorder="1"/>
    <xf numFmtId="0" fontId="1" fillId="0" borderId="1" xfId="0" applyFont="1" applyBorder="1"/>
    <xf numFmtId="164" fontId="0" fillId="0" borderId="1" xfId="0" applyNumberFormat="1" applyBorder="1"/>
    <xf numFmtId="0" fontId="1" fillId="0" borderId="0" xfId="0" applyFont="1"/>
    <xf numFmtId="2" fontId="0" fillId="0" borderId="0" xfId="0" applyNumberFormat="1"/>
    <xf numFmtId="0" fontId="3" fillId="0" borderId="1" xfId="0" applyFont="1" applyBorder="1"/>
    <xf numFmtId="2" fontId="3" fillId="0" borderId="1" xfId="0" applyNumberFormat="1" applyFont="1" applyBorder="1"/>
    <xf numFmtId="0" fontId="3" fillId="0" borderId="9" xfId="0" applyFont="1" applyBorder="1"/>
    <xf numFmtId="2" fontId="4" fillId="0" borderId="1" xfId="0" applyNumberFormat="1" applyFont="1" applyBorder="1"/>
    <xf numFmtId="165" fontId="3" fillId="0" borderId="1" xfId="0" applyNumberFormat="1" applyFont="1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6" borderId="1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9" fontId="0" fillId="0" borderId="1" xfId="1" applyFont="1" applyBorder="1"/>
    <xf numFmtId="0" fontId="0" fillId="7" borderId="0" xfId="0" applyFill="1"/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8" fillId="0" borderId="0" xfId="0" applyFont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182880</xdr:colOff>
          <xdr:row>10</xdr:row>
          <xdr:rowOff>167640</xdr:rowOff>
        </xdr:from>
        <xdr:to>
          <xdr:col>17</xdr:col>
          <xdr:colOff>22860</xdr:colOff>
          <xdr:row>12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ptos Narrow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9987E-A62D-4D35-B75E-CB2A37BA935D}">
  <sheetPr codeName="Sheet2"/>
  <dimension ref="A1:Q21"/>
  <sheetViews>
    <sheetView tabSelected="1" workbookViewId="0">
      <selection activeCell="H1" sqref="H1:O1"/>
    </sheetView>
  </sheetViews>
  <sheetFormatPr defaultRowHeight="14.4" x14ac:dyDescent="0.3"/>
  <cols>
    <col min="4" max="4" width="14.33203125" customWidth="1"/>
    <col min="9" max="9" width="12" customWidth="1"/>
    <col min="10" max="10" width="14.109375" customWidth="1"/>
    <col min="15" max="15" width="12.77734375" customWidth="1"/>
  </cols>
  <sheetData>
    <row r="1" spans="1:17" x14ac:dyDescent="0.3">
      <c r="A1" s="31" t="s">
        <v>44</v>
      </c>
      <c r="B1" s="31"/>
      <c r="C1" s="31"/>
      <c r="D1" s="31"/>
      <c r="E1" s="31"/>
      <c r="F1" s="31"/>
      <c r="G1" s="31"/>
      <c r="H1" s="32" t="s">
        <v>80</v>
      </c>
      <c r="I1" s="32"/>
      <c r="J1" s="32"/>
      <c r="K1" s="32"/>
      <c r="L1" s="32"/>
      <c r="M1" s="32"/>
      <c r="N1" s="32"/>
      <c r="O1" s="32"/>
    </row>
    <row r="2" spans="1:17" x14ac:dyDescent="0.3">
      <c r="A2" s="24" t="s">
        <v>45</v>
      </c>
      <c r="B2" s="24"/>
      <c r="C2" s="2" t="s">
        <v>0</v>
      </c>
      <c r="D2" s="5">
        <v>0.5</v>
      </c>
      <c r="E2" s="2" t="s">
        <v>38</v>
      </c>
      <c r="F2" s="27">
        <v>-0.55000000000000004</v>
      </c>
      <c r="G2" s="4"/>
      <c r="H2" s="25" t="s">
        <v>48</v>
      </c>
      <c r="I2" s="25"/>
      <c r="J2" s="2" t="s">
        <v>13</v>
      </c>
      <c r="K2" s="3">
        <f>0.6112*EXP(17.67*D6/(D6+243.5))</f>
        <v>5.0357671837845723</v>
      </c>
      <c r="L2" s="2" t="s">
        <v>21</v>
      </c>
      <c r="M2" s="2" t="s">
        <v>15</v>
      </c>
      <c r="N2" s="2">
        <f>0.622*K3/(F8-K3)</f>
        <v>1.2168849718159213E-2</v>
      </c>
      <c r="O2" s="2" t="s">
        <v>30</v>
      </c>
    </row>
    <row r="3" spans="1:17" x14ac:dyDescent="0.3">
      <c r="A3" s="25" t="s">
        <v>46</v>
      </c>
      <c r="B3" s="25"/>
      <c r="C3" s="2" t="s">
        <v>16</v>
      </c>
      <c r="D3" s="5">
        <v>2000</v>
      </c>
      <c r="E3" s="2" t="s">
        <v>28</v>
      </c>
      <c r="F3" s="2">
        <f>D3/3600*1000</f>
        <v>555.55555555555554</v>
      </c>
      <c r="G3" s="4" t="s">
        <v>29</v>
      </c>
      <c r="H3" s="25"/>
      <c r="I3" s="25"/>
      <c r="J3" s="2" t="s">
        <v>22</v>
      </c>
      <c r="K3" s="3">
        <f>K2*D7</f>
        <v>1.9135915298381374</v>
      </c>
      <c r="L3" s="2" t="s">
        <v>21</v>
      </c>
      <c r="M3" s="2"/>
      <c r="N3" s="2"/>
      <c r="O3" s="2"/>
    </row>
    <row r="4" spans="1:17" x14ac:dyDescent="0.3">
      <c r="A4" s="25"/>
      <c r="B4" s="25"/>
      <c r="C4" s="2" t="s">
        <v>2</v>
      </c>
      <c r="D4" s="5">
        <v>36.6</v>
      </c>
      <c r="E4" s="2" t="s">
        <v>1</v>
      </c>
      <c r="F4" s="2"/>
      <c r="G4" s="4"/>
      <c r="H4" s="25"/>
      <c r="I4" s="25"/>
      <c r="J4" s="2" t="s">
        <v>12</v>
      </c>
      <c r="K4" s="3">
        <f>O13</f>
        <v>21.786651611328125</v>
      </c>
      <c r="L4" s="2" t="s">
        <v>1</v>
      </c>
      <c r="M4" s="2"/>
      <c r="N4" s="2"/>
      <c r="O4" s="2"/>
    </row>
    <row r="5" spans="1:17" x14ac:dyDescent="0.3">
      <c r="A5" s="25"/>
      <c r="B5" s="25"/>
      <c r="C5" s="2" t="s">
        <v>3</v>
      </c>
      <c r="D5" s="5">
        <v>25.6</v>
      </c>
      <c r="E5" s="2" t="s">
        <v>1</v>
      </c>
      <c r="F5" s="2"/>
      <c r="G5" s="4"/>
      <c r="H5" s="25"/>
      <c r="I5" s="25"/>
      <c r="J5" s="2" t="s">
        <v>23</v>
      </c>
      <c r="K5" s="3">
        <f>K7*D6+N2*(K9+K8*D6)</f>
        <v>64.379217140816806</v>
      </c>
      <c r="L5" s="2" t="s">
        <v>27</v>
      </c>
      <c r="M5" s="2"/>
      <c r="N5" s="2"/>
      <c r="O5" s="2"/>
    </row>
    <row r="6" spans="1:17" x14ac:dyDescent="0.3">
      <c r="A6" s="25" t="s">
        <v>47</v>
      </c>
      <c r="B6" s="25"/>
      <c r="C6" s="2" t="s">
        <v>17</v>
      </c>
      <c r="D6" s="5">
        <v>33</v>
      </c>
      <c r="E6" s="2" t="s">
        <v>1</v>
      </c>
      <c r="F6" s="2"/>
      <c r="G6" s="4"/>
      <c r="H6" s="16" t="s">
        <v>49</v>
      </c>
      <c r="I6" s="17"/>
      <c r="J6" s="2" t="s">
        <v>25</v>
      </c>
      <c r="K6" s="3">
        <v>4.1859999999999999</v>
      </c>
      <c r="L6" s="2" t="s">
        <v>31</v>
      </c>
      <c r="M6" s="2"/>
      <c r="N6" s="2"/>
      <c r="O6" s="2"/>
    </row>
    <row r="7" spans="1:17" x14ac:dyDescent="0.3">
      <c r="A7" s="25"/>
      <c r="B7" s="25"/>
      <c r="C7" s="2" t="s">
        <v>4</v>
      </c>
      <c r="D7" s="6">
        <v>0.38</v>
      </c>
      <c r="E7" s="2"/>
      <c r="F7" s="2"/>
      <c r="G7" s="4"/>
      <c r="H7" s="18"/>
      <c r="I7" s="19"/>
      <c r="J7" s="2" t="s">
        <v>24</v>
      </c>
      <c r="K7" s="3">
        <v>1.006</v>
      </c>
      <c r="L7" s="2" t="s">
        <v>31</v>
      </c>
      <c r="M7" s="2"/>
      <c r="N7" s="2"/>
      <c r="O7" s="2"/>
    </row>
    <row r="8" spans="1:17" x14ac:dyDescent="0.3">
      <c r="A8" s="25"/>
      <c r="B8" s="25"/>
      <c r="C8" s="2" t="s">
        <v>18</v>
      </c>
      <c r="D8" s="5">
        <v>748</v>
      </c>
      <c r="E8" s="2" t="s">
        <v>20</v>
      </c>
      <c r="F8" s="3">
        <f>D8/760*101.325</f>
        <v>99.725131578947369</v>
      </c>
      <c r="G8" s="4" t="s">
        <v>21</v>
      </c>
      <c r="H8" s="18"/>
      <c r="I8" s="19"/>
      <c r="J8" s="2" t="s">
        <v>32</v>
      </c>
      <c r="K8" s="3">
        <v>1.86</v>
      </c>
      <c r="L8" s="2" t="s">
        <v>31</v>
      </c>
      <c r="M8" s="2"/>
      <c r="N8" s="2"/>
      <c r="O8" s="2"/>
    </row>
    <row r="9" spans="1:17" x14ac:dyDescent="0.3">
      <c r="H9" s="20"/>
      <c r="I9" s="21"/>
      <c r="J9" s="2" t="s">
        <v>26</v>
      </c>
      <c r="K9" s="3">
        <v>2501</v>
      </c>
      <c r="L9" s="2" t="s">
        <v>27</v>
      </c>
      <c r="M9" s="2"/>
      <c r="N9" s="2"/>
      <c r="O9" s="2"/>
    </row>
    <row r="12" spans="1:17" x14ac:dyDescent="0.3">
      <c r="A12" s="23" t="s">
        <v>50</v>
      </c>
      <c r="B12" s="23"/>
      <c r="C12" s="23"/>
      <c r="D12" s="23"/>
      <c r="E12" s="23"/>
      <c r="F12" s="23"/>
      <c r="G12" s="23"/>
      <c r="H12" s="23"/>
      <c r="I12" s="23"/>
      <c r="J12" s="1" t="s">
        <v>19</v>
      </c>
      <c r="K12" s="22" t="s">
        <v>51</v>
      </c>
      <c r="L12" s="22"/>
      <c r="N12" s="22" t="s">
        <v>52</v>
      </c>
      <c r="O12" s="22"/>
    </row>
    <row r="13" spans="1:17" x14ac:dyDescent="0.3">
      <c r="A13" s="7"/>
      <c r="B13" s="7" t="s">
        <v>5</v>
      </c>
      <c r="C13" s="7" t="s">
        <v>13</v>
      </c>
      <c r="D13" s="7" t="s">
        <v>33</v>
      </c>
      <c r="E13" s="7" t="s">
        <v>34</v>
      </c>
      <c r="F13" s="7" t="s">
        <v>11</v>
      </c>
      <c r="G13" s="7" t="s">
        <v>14</v>
      </c>
      <c r="H13" s="7" t="s">
        <v>35</v>
      </c>
      <c r="I13" s="7" t="s">
        <v>36</v>
      </c>
      <c r="K13" s="7" t="s">
        <v>37</v>
      </c>
      <c r="L13" s="8">
        <f>K6*(B15-B14)/3*(I14+4*I15+2*I16+4*I17+I18)</f>
        <v>1.6249141765883006</v>
      </c>
      <c r="N13" s="11" t="s">
        <v>39</v>
      </c>
      <c r="O13" s="14">
        <v>21.786651611328125</v>
      </c>
    </row>
    <row r="14" spans="1:17" x14ac:dyDescent="0.3">
      <c r="A14" s="2" t="s">
        <v>6</v>
      </c>
      <c r="B14" s="2">
        <f>D5</f>
        <v>25.6</v>
      </c>
      <c r="C14" s="2">
        <f>0.6112*EXP(17.67*B14/(B14+243.5))</f>
        <v>3.2826466641058638</v>
      </c>
      <c r="D14" s="2">
        <f>0.622*C14/($F$8-C14)</f>
        <v>2.1171232023695342E-2</v>
      </c>
      <c r="E14" s="2">
        <f>$K$7*B14 + D14*($K$9 + $K$8*B14)</f>
        <v>79.710940675302325</v>
      </c>
      <c r="F14" s="2">
        <f>$K$6*B14</f>
        <v>107.16160000000001</v>
      </c>
      <c r="G14" s="3">
        <f>K5</f>
        <v>64.379217140816806</v>
      </c>
      <c r="H14" s="3">
        <f t="shared" ref="H14:H17" si="0">E14-G14</f>
        <v>15.331723534485519</v>
      </c>
      <c r="I14" s="2">
        <f>1/H14</f>
        <v>6.522423899379011E-2</v>
      </c>
      <c r="K14" s="7" t="s">
        <v>1</v>
      </c>
      <c r="L14" s="8">
        <f>L13/(D2^F2)</f>
        <v>1.1098490894952697</v>
      </c>
      <c r="N14" s="11" t="s">
        <v>13</v>
      </c>
      <c r="O14" s="12">
        <f>0.6112*EXP(17.67*O13/(O13+243.5))</f>
        <v>2.6086079666001174</v>
      </c>
      <c r="Q14" s="30" t="s">
        <v>79</v>
      </c>
    </row>
    <row r="15" spans="1:17" x14ac:dyDescent="0.3">
      <c r="A15" s="2" t="s">
        <v>7</v>
      </c>
      <c r="B15" s="2">
        <f>B14 + ($D$4-$D$5)/4</f>
        <v>28.35</v>
      </c>
      <c r="C15" s="2">
        <f t="shared" ref="C15:C18" si="1">0.6112*EXP(17.67*B15/(B15+243.5))</f>
        <v>3.8589413627545261</v>
      </c>
      <c r="D15" s="2">
        <f t="shared" ref="D15:D18" si="2">0.622*C15/($F$8-C15)</f>
        <v>2.5037622984916373E-2</v>
      </c>
      <c r="E15" s="2">
        <f t="shared" ref="E15:E18" si="3">$K$7*B15 + D15*($K$9 + $K$8*B15)</f>
        <v>92.459453982893478</v>
      </c>
      <c r="F15" s="2">
        <f t="shared" ref="F15:F18" si="4">$K$6*B15</f>
        <v>118.67310000000001</v>
      </c>
      <c r="G15" s="2">
        <f>(F15-F14)*$D$2+G14</f>
        <v>70.134967140816798</v>
      </c>
      <c r="H15" s="3">
        <f t="shared" si="0"/>
        <v>22.324486842076681</v>
      </c>
      <c r="I15" s="2">
        <f t="shared" ref="I15:I18" si="5">1/H15</f>
        <v>4.4793862769343613E-2</v>
      </c>
      <c r="K15" s="9"/>
      <c r="N15" s="11" t="s">
        <v>33</v>
      </c>
      <c r="O15" s="15">
        <f>0.622*O14/(F8-O14)</f>
        <v>1.670729238313658E-2</v>
      </c>
    </row>
    <row r="16" spans="1:17" x14ac:dyDescent="0.3">
      <c r="A16" s="2" t="s">
        <v>8</v>
      </c>
      <c r="B16" s="2">
        <f>B15 + ($D$4-$D$5)/4</f>
        <v>31.1</v>
      </c>
      <c r="C16" s="2">
        <f t="shared" si="1"/>
        <v>4.5217369386543869</v>
      </c>
      <c r="D16" s="2">
        <f t="shared" si="2"/>
        <v>2.9542227842500528E-2</v>
      </c>
      <c r="E16" s="2">
        <f t="shared" si="3"/>
        <v>106.88061154587112</v>
      </c>
      <c r="F16" s="2">
        <f t="shared" si="4"/>
        <v>130.18460000000002</v>
      </c>
      <c r="G16" s="2">
        <f t="shared" ref="G16:G18" si="6">(F16-F15)*$D$2+G15</f>
        <v>75.890717140816804</v>
      </c>
      <c r="H16" s="3">
        <f t="shared" si="0"/>
        <v>30.989894405054315</v>
      </c>
      <c r="I16" s="2">
        <f t="shared" si="5"/>
        <v>3.2268583652769869E-2</v>
      </c>
      <c r="N16" s="11" t="s">
        <v>34</v>
      </c>
      <c r="O16" s="12">
        <f>K7*O13+O15*(K9+K8*O13)</f>
        <v>64.379342254067865</v>
      </c>
    </row>
    <row r="17" spans="1:15" x14ac:dyDescent="0.3">
      <c r="A17" s="2" t="s">
        <v>9</v>
      </c>
      <c r="B17" s="2">
        <f>B16 + ($D$4-$D$5)/4</f>
        <v>33.85</v>
      </c>
      <c r="C17" s="2">
        <f t="shared" si="1"/>
        <v>5.2817437737844077</v>
      </c>
      <c r="D17" s="2">
        <f t="shared" si="2"/>
        <v>3.4785332288919717E-2</v>
      </c>
      <c r="E17" s="2">
        <f t="shared" si="3"/>
        <v>123.24133536083087</v>
      </c>
      <c r="F17" s="2">
        <f t="shared" si="4"/>
        <v>141.6961</v>
      </c>
      <c r="G17" s="2">
        <f t="shared" si="6"/>
        <v>81.646467140816796</v>
      </c>
      <c r="H17" s="3">
        <f t="shared" si="0"/>
        <v>41.594868220014078</v>
      </c>
      <c r="I17" s="2">
        <f t="shared" si="5"/>
        <v>2.4041427291235724E-2</v>
      </c>
      <c r="N17" s="11" t="s">
        <v>40</v>
      </c>
      <c r="O17" s="12">
        <f>K5</f>
        <v>64.379217140816806</v>
      </c>
    </row>
    <row r="18" spans="1:15" x14ac:dyDescent="0.3">
      <c r="A18" s="2" t="s">
        <v>10</v>
      </c>
      <c r="B18" s="2">
        <f>B17 + ($D$4-$D$5)/4</f>
        <v>36.6</v>
      </c>
      <c r="C18" s="2">
        <f t="shared" si="1"/>
        <v>6.1506992923868582</v>
      </c>
      <c r="D18" s="2">
        <f t="shared" si="2"/>
        <v>4.0884404707353925E-2</v>
      </c>
      <c r="E18" s="2">
        <f t="shared" si="3"/>
        <v>141.85474290795</v>
      </c>
      <c r="F18" s="2">
        <f t="shared" si="4"/>
        <v>153.20760000000001</v>
      </c>
      <c r="G18" s="2">
        <f t="shared" si="6"/>
        <v>87.402217140816802</v>
      </c>
      <c r="H18" s="3">
        <f>E18-G18</f>
        <v>54.452525767133196</v>
      </c>
      <c r="I18" s="2">
        <f t="shared" si="5"/>
        <v>1.8364621032943642E-2</v>
      </c>
      <c r="N18" s="13" t="s">
        <v>41</v>
      </c>
      <c r="O18" s="10">
        <f>O16-O17</f>
        <v>1.2511325105890592E-4</v>
      </c>
    </row>
    <row r="20" spans="1:15" x14ac:dyDescent="0.3">
      <c r="N20" s="7" t="s">
        <v>42</v>
      </c>
      <c r="O20" s="3">
        <f>D5-O13</f>
        <v>3.8133483886718764</v>
      </c>
    </row>
    <row r="21" spans="1:15" x14ac:dyDescent="0.3">
      <c r="N21" s="7" t="s">
        <v>43</v>
      </c>
      <c r="O21" s="26">
        <f>(D4-D5)/(D4-O13)</f>
        <v>0.74257350272082745</v>
      </c>
    </row>
  </sheetData>
  <mergeCells count="10">
    <mergeCell ref="A1:G1"/>
    <mergeCell ref="H1:O1"/>
    <mergeCell ref="H6:I9"/>
    <mergeCell ref="N12:O12"/>
    <mergeCell ref="A12:I12"/>
    <mergeCell ref="K12:L12"/>
    <mergeCell ref="A2:B2"/>
    <mergeCell ref="A3:B5"/>
    <mergeCell ref="A6:B8"/>
    <mergeCell ref="H2:I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b_calc">
                <anchor moveWithCells="1" sizeWithCells="1">
                  <from>
                    <xdr:col>15</xdr:col>
                    <xdr:colOff>182880</xdr:colOff>
                    <xdr:row>10</xdr:row>
                    <xdr:rowOff>167640</xdr:rowOff>
                  </from>
                  <to>
                    <xdr:col>17</xdr:col>
                    <xdr:colOff>22860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65C79-CCE2-49EA-BC7D-7FFF8EB4A865}">
  <dimension ref="A1:H17"/>
  <sheetViews>
    <sheetView workbookViewId="0">
      <selection activeCell="H8" sqref="H8"/>
    </sheetView>
  </sheetViews>
  <sheetFormatPr defaultRowHeight="14.4" x14ac:dyDescent="0.3"/>
  <sheetData>
    <row r="1" spans="1:8" x14ac:dyDescent="0.3">
      <c r="A1" s="29" t="s">
        <v>53</v>
      </c>
      <c r="H1" s="29" t="s">
        <v>68</v>
      </c>
    </row>
    <row r="2" spans="1:8" x14ac:dyDescent="0.3">
      <c r="A2" s="29" t="s">
        <v>54</v>
      </c>
      <c r="H2" s="29" t="s">
        <v>69</v>
      </c>
    </row>
    <row r="3" spans="1:8" x14ac:dyDescent="0.3">
      <c r="A3" s="29" t="s">
        <v>55</v>
      </c>
      <c r="H3" s="29" t="s">
        <v>70</v>
      </c>
    </row>
    <row r="4" spans="1:8" x14ac:dyDescent="0.3">
      <c r="A4" s="29" t="s">
        <v>56</v>
      </c>
      <c r="H4" s="29" t="s">
        <v>71</v>
      </c>
    </row>
    <row r="5" spans="1:8" x14ac:dyDescent="0.3">
      <c r="A5" s="29" t="s">
        <v>57</v>
      </c>
      <c r="H5" s="29" t="s">
        <v>72</v>
      </c>
    </row>
    <row r="6" spans="1:8" x14ac:dyDescent="0.3">
      <c r="A6" s="29" t="s">
        <v>58</v>
      </c>
      <c r="H6" s="29" t="s">
        <v>73</v>
      </c>
    </row>
    <row r="7" spans="1:8" x14ac:dyDescent="0.3">
      <c r="A7" s="29" t="s">
        <v>59</v>
      </c>
      <c r="H7" s="29" t="s">
        <v>78</v>
      </c>
    </row>
    <row r="8" spans="1:8" x14ac:dyDescent="0.3">
      <c r="A8" s="29" t="s">
        <v>60</v>
      </c>
      <c r="H8" s="29" t="s">
        <v>74</v>
      </c>
    </row>
    <row r="9" spans="1:8" x14ac:dyDescent="0.3">
      <c r="A9" s="29" t="s">
        <v>61</v>
      </c>
      <c r="H9" s="29" t="s">
        <v>75</v>
      </c>
    </row>
    <row r="10" spans="1:8" x14ac:dyDescent="0.3">
      <c r="A10" s="29" t="s">
        <v>62</v>
      </c>
      <c r="H10" s="29" t="s">
        <v>76</v>
      </c>
    </row>
    <row r="11" spans="1:8" x14ac:dyDescent="0.3">
      <c r="A11" s="29" t="s">
        <v>63</v>
      </c>
    </row>
    <row r="12" spans="1:8" x14ac:dyDescent="0.3">
      <c r="A12" s="29" t="s">
        <v>64</v>
      </c>
    </row>
    <row r="13" spans="1:8" x14ac:dyDescent="0.3">
      <c r="A13" s="29" t="s">
        <v>65</v>
      </c>
    </row>
    <row r="14" spans="1:8" x14ac:dyDescent="0.3">
      <c r="A14" s="29" t="s">
        <v>66</v>
      </c>
    </row>
    <row r="15" spans="1:8" x14ac:dyDescent="0.3">
      <c r="A15" s="29" t="s">
        <v>67</v>
      </c>
    </row>
    <row r="16" spans="1:8" x14ac:dyDescent="0.3">
      <c r="A16" s="29" t="s">
        <v>77</v>
      </c>
    </row>
    <row r="17" spans="1:1" x14ac:dyDescent="0.3">
      <c r="A17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MERKEL</vt:lpstr>
      <vt:lpstr>Abbrevations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 Babaev</dc:creator>
  <cp:lastModifiedBy>Dmitri Babaev</cp:lastModifiedBy>
  <dcterms:created xsi:type="dcterms:W3CDTF">2025-10-22T18:15:20Z</dcterms:created>
  <dcterms:modified xsi:type="dcterms:W3CDTF">2025-10-24T11:45:13Z</dcterms:modified>
</cp:coreProperties>
</file>