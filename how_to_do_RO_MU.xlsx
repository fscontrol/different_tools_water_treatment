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sts" sheetId="1" state="visible" r:id="rId1"/>
    <sheet name="Assumptions" sheetId="2" state="visible" r:id="rId2"/>
    <sheet name="Technical assumptions" sheetId="3" state="visible" r:id="rId3"/>
  </sheets>
  <definedNames>
    <definedName name="evaporation" hidden="0">'Technical assumptions'!$C$3</definedName>
    <definedName name="hrd_mu" hidden="0">'Technical assumptions'!$C$4</definedName>
    <definedName name="cl_mu" hidden="0">'Technical assumptions'!$C$5</definedName>
    <definedName name="cl_limit" hidden="0">'Technical assumptions'!$D$6</definedName>
    <definedName name="ro_mu_price" hidden="0">Assumptions!$C$3</definedName>
    <definedName name="ro_bd_price" hidden="0">Assumptions!$C$4</definedName>
    <definedName name="rec_mu" hidden="0">Assumptions!$C$5</definedName>
    <definedName name="rec_bd" hidden="0">Assumptions!$C$6</definedName>
    <definedName name="chem_dosage" hidden="0">Assumptions!$C$7</definedName>
    <definedName name="chem_dosage_zld" hidden="0">Assumptions!$C$7</definedName>
    <definedName name="zld_dosage" hidden="0">Assumptions!$C$7</definedName>
    <definedName name="normal_dosage" hidden="0">Assumptions!$C$8</definedName>
    <definedName name="antiscale_dosage" hidden="0">Assumptions!$C$9</definedName>
    <definedName name="zld_cost" hidden="0">Assumptions!$C$11</definedName>
    <definedName name="normal_cost" hidden="0">Assumptions!$C$12</definedName>
    <definedName name="antiscale_cost" hidden="0">Assumptions!$C$13</definedName>
    <definedName name="mt_equip" hidden="0">Assumptions!$C$14</definedName>
    <definedName name="ammortization" hidden="0">Assumptions!$C$15</definedName>
    <definedName name="interest" hidden="0">Assumptions!$C$16</definedName>
    <definedName name="mu_price" hidden="0">Assumptions!$C$17</definedName>
    <definedName name="bd_price" hidden="0">Assumptions!$C$18</definedName>
    <definedName name="bd_antiscale_dosage" hidden="0">Assumptions!$C$10</definedName>
    <definedName name="cl_passage" hidden="0">'Technical assumptions'!$C$7</definedName>
    <definedName name="ca_passage" hidden="0">'Technical assumptions'!$C$8</definedName>
    <definedName name="hrd_passage" hidden="0">'Technical assumptions'!$C$8</definedName>
    <definedName name="drift" hidden="0">'Technical assumptions'!$C$13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<sst xmlns="http://schemas.openxmlformats.org/spreadsheetml/2006/main" count="74" uniqueCount="74">
  <si>
    <t>Comparision</t>
  </si>
  <si>
    <t xml:space="preserve">RO on BD</t>
  </si>
  <si>
    <t xml:space="preserve">RO in MU</t>
  </si>
  <si>
    <t xml:space="preserve">Without RO</t>
  </si>
  <si>
    <t xml:space="preserve">Total cost of ownerships</t>
  </si>
  <si>
    <t xml:space="preserve">Water reuse</t>
  </si>
  <si>
    <t xml:space="preserve">Cost of chemicals</t>
  </si>
  <si>
    <t xml:space="preserve">Equipment related costs</t>
  </si>
  <si>
    <t xml:space="preserve">Water cost</t>
  </si>
  <si>
    <t>Calculations</t>
  </si>
  <si>
    <t>Option</t>
  </si>
  <si>
    <t xml:space="preserve">RO on blowdown</t>
  </si>
  <si>
    <t>COC</t>
  </si>
  <si>
    <t xml:space="preserve">Change in green field until it is not equal to in the yellow one</t>
  </si>
  <si>
    <t>Hardness</t>
  </si>
  <si>
    <t xml:space="preserve">ppm CaCO3</t>
  </si>
  <si>
    <t>Chlorides</t>
  </si>
  <si>
    <t>ppm</t>
  </si>
  <si>
    <t xml:space="preserve">CT Makeup</t>
  </si>
  <si>
    <t>t/h</t>
  </si>
  <si>
    <t xml:space="preserve">Whole system IN water</t>
  </si>
  <si>
    <t>Drift</t>
  </si>
  <si>
    <t>Blowdown</t>
  </si>
  <si>
    <t>Permeate</t>
  </si>
  <si>
    <t>Concentrate</t>
  </si>
  <si>
    <t xml:space="preserve">Cost of RO</t>
  </si>
  <si>
    <t xml:space="preserve">per unit</t>
  </si>
  <si>
    <t xml:space="preserve">Water discharge</t>
  </si>
  <si>
    <t xml:space="preserve">per year</t>
  </si>
  <si>
    <t xml:space="preserve">Maintenance of equipment</t>
  </si>
  <si>
    <t xml:space="preserve">Annualized CAPEX</t>
  </si>
  <si>
    <t xml:space="preserve">Cost of water</t>
  </si>
  <si>
    <t xml:space="preserve">Total cost</t>
  </si>
  <si>
    <t xml:space="preserve">ppm as CaCO3</t>
  </si>
  <si>
    <t xml:space="preserve">Makeup=Whole system water in</t>
  </si>
  <si>
    <t xml:space="preserve">t/h, BD-drift</t>
  </si>
  <si>
    <t>kg/year</t>
  </si>
  <si>
    <t xml:space="preserve">Option </t>
  </si>
  <si>
    <t xml:space="preserve">RO on makeup</t>
  </si>
  <si>
    <t xml:space="preserve">Cost RO</t>
  </si>
  <si>
    <t>Assumptions</t>
  </si>
  <si>
    <t xml:space="preserve">Price of RO for MU</t>
  </si>
  <si>
    <t xml:space="preserve">per t/h of performance</t>
  </si>
  <si>
    <t xml:space="preserve">Price of RO for BD</t>
  </si>
  <si>
    <t xml:space="preserve">per t/h of performance, water worse, price higher</t>
  </si>
  <si>
    <t xml:space="preserve">Recovery of RO for MU</t>
  </si>
  <si>
    <t xml:space="preserve">Recovery of RO for BD</t>
  </si>
  <si>
    <t xml:space="preserve">Chemical dosage </t>
  </si>
  <si>
    <t xml:space="preserve">ppm per drift for CT with permeate makeup</t>
  </si>
  <si>
    <t xml:space="preserve">ppm per BD for CT  </t>
  </si>
  <si>
    <t xml:space="preserve">ppm per feed for RO antiscale</t>
  </si>
  <si>
    <t xml:space="preserve">ppm per bd for case RO on BD</t>
  </si>
  <si>
    <t xml:space="preserve">Chemical price</t>
  </si>
  <si>
    <t xml:space="preserve">for ZLD chemicals</t>
  </si>
  <si>
    <t xml:space="preserve">for "usual" chemicals</t>
  </si>
  <si>
    <t xml:space="preserve">for antiscale</t>
  </si>
  <si>
    <t xml:space="preserve">per year from cost of equipment</t>
  </si>
  <si>
    <t xml:space="preserve">Amortization </t>
  </si>
  <si>
    <t>years</t>
  </si>
  <si>
    <t xml:space="preserve">Rate of interest</t>
  </si>
  <si>
    <t xml:space="preserve">Cost of MU water</t>
  </si>
  <si>
    <t xml:space="preserve">Cost of BD water</t>
  </si>
  <si>
    <t xml:space="preserve">Technical assumptions</t>
  </si>
  <si>
    <t>Evaporation</t>
  </si>
  <si>
    <t xml:space="preserve">Hardness in MU</t>
  </si>
  <si>
    <t xml:space="preserve">Chlorides in MU</t>
  </si>
  <si>
    <t xml:space="preserve">Limit Chlorides in CT</t>
  </si>
  <si>
    <t>&lt;</t>
  </si>
  <si>
    <t xml:space="preserve">Cl passage</t>
  </si>
  <si>
    <t xml:space="preserve">Hardness passage</t>
  </si>
  <si>
    <t xml:space="preserve">Delta T</t>
  </si>
  <si>
    <t>C</t>
  </si>
  <si>
    <t>Kevap</t>
  </si>
  <si>
    <t>Recirculation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</si>
</sst>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[$$-409]#,##0.00"/>
    <numFmt numFmtId="165" formatCode="0.0"/>
    <numFmt numFmtId="166" formatCode="_([$$-409]* #,##0.00_);_([$$-409]* \(#,##0.00\);_([$$-409]* &quot;-&quot;??_);_(@_)"/>
    <numFmt numFmtId="167" formatCode="0.00000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2.000000"/>
      <color indexed="64"/>
      <name val="Times New Roman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 style="none"/>
    </border>
    <border>
      <left/>
      <right/>
      <top style="thin">
        <color theme="1"/>
      </top>
      <bottom style="thin">
        <color theme="1"/>
      </bottom>
      <diagonal style="none"/>
    </border>
    <border>
      <left/>
      <right style="thin">
        <color theme="1"/>
      </right>
      <top style="thin">
        <color theme="1"/>
      </top>
      <bottom style="thin">
        <color theme="1"/>
      </bottom>
      <diagonal style="none"/>
    </border>
    <border>
      <left/>
      <right/>
      <top style="thin">
        <color theme="1"/>
      </top>
      <bottom style="thin">
        <color theme="1"/>
      </bottom>
      <diagonal/>
    </border>
  </borders>
  <cellStyleXfs count="3">
    <xf fontId="0" fillId="0" borderId="0" numFmtId="0" applyNumberFormat="1" applyFont="1" applyFill="1" applyBorder="1"/>
    <xf fontId="0" fillId="2" borderId="0" numFmtId="44" applyNumberFormat="1" applyFont="0" applyFill="0" applyBorder="0"/>
    <xf fontId="0" fillId="2" borderId="0" numFmtId="9" applyNumberFormat="1" applyFont="0" applyFill="0" applyBorder="0"/>
  </cellStyleXfs>
  <cellXfs count="69">
    <xf fontId="0" fillId="0" borderId="0" numFmtId="0" xfId="0"/>
    <xf fontId="1" fillId="0" borderId="1" numFmtId="0" xfId="0" applyFont="1" applyBorder="1" applyAlignment="1">
      <alignment horizontal="center"/>
    </xf>
    <xf fontId="0" fillId="3" borderId="1" numFmtId="0" xfId="0" applyFill="1" applyBorder="1"/>
    <xf fontId="0" fillId="3" borderId="1" numFmtId="164" xfId="0" applyNumberFormat="1" applyFill="1" applyBorder="1"/>
    <xf fontId="0" fillId="3" borderId="1" numFmtId="164" xfId="0" applyNumberFormat="1" applyFill="1" applyBorder="1" applyAlignment="1">
      <alignment horizontal="center"/>
    </xf>
    <xf fontId="0" fillId="3" borderId="1" numFmtId="0" xfId="0" applyFill="1" applyBorder="1" applyAlignment="1">
      <alignment horizontal="center"/>
    </xf>
    <xf fontId="0" fillId="0" borderId="1" numFmtId="0" xfId="0" applyBorder="1"/>
    <xf fontId="0" fillId="0" borderId="1" numFmtId="9" xfId="2" applyNumberFormat="1" applyBorder="1"/>
    <xf fontId="0" fillId="0" borderId="1" numFmtId="9" xfId="2" applyNumberFormat="1" applyBorder="1" applyAlignment="1">
      <alignment horizontal="center"/>
    </xf>
    <xf fontId="0" fillId="0" borderId="1" numFmtId="164" xfId="0" applyNumberFormat="1" applyBorder="1"/>
    <xf fontId="0" fillId="0" borderId="1" numFmtId="164" xfId="0" applyNumberFormat="1" applyBorder="1" applyAlignment="1">
      <alignment horizontal="center"/>
    </xf>
    <xf fontId="0" fillId="0" borderId="1" numFmtId="0" xfId="0" applyBorder="1" applyAlignment="1">
      <alignment horizontal="center"/>
    </xf>
    <xf fontId="0" fillId="0" borderId="0" numFmtId="0" xfId="0"/>
    <xf fontId="0" fillId="0" borderId="0" numFmtId="164" xfId="0" applyNumberFormat="1"/>
    <xf fontId="0" fillId="0" borderId="0" numFmtId="164" xfId="0" applyNumberFormat="1" applyAlignment="1">
      <alignment horizontal="center"/>
    </xf>
    <xf fontId="1" fillId="0" borderId="0" numFmtId="0" xfId="0" applyFont="1" applyAlignment="1">
      <alignment horizontal="center"/>
    </xf>
    <xf fontId="0" fillId="0" borderId="2" numFmtId="0" xfId="0" applyBorder="1"/>
    <xf fontId="1" fillId="0" borderId="3" numFmtId="0" xfId="0" applyFont="1" applyBorder="1" applyAlignment="1">
      <alignment horizontal="center"/>
    </xf>
    <xf fontId="0" fillId="0" borderId="3" numFmtId="0" xfId="0" applyBorder="1"/>
    <xf fontId="0" fillId="0" borderId="4" numFmtId="0" xfId="0" applyBorder="1"/>
    <xf fontId="0" fillId="0" borderId="5" numFmtId="0" xfId="0" applyBorder="1"/>
    <xf fontId="0" fillId="3" borderId="0" numFmtId="2" xfId="0" applyNumberFormat="1" applyFill="1"/>
    <xf fontId="0" fillId="4" borderId="0" numFmtId="2" xfId="0" applyNumberFormat="1" applyFill="1"/>
    <xf fontId="0" fillId="0" borderId="6" numFmtId="0" xfId="0" applyBorder="1" applyAlignment="1">
      <alignment horizontal="center" wrapText="1"/>
    </xf>
    <xf fontId="0" fillId="0" borderId="0" numFmtId="165" xfId="0" applyNumberFormat="1"/>
    <xf fontId="0" fillId="0" borderId="0" numFmtId="0" xfId="0" applyAlignment="1">
      <alignment horizontal="right"/>
    </xf>
    <xf fontId="0" fillId="0" borderId="0" numFmtId="2" xfId="0" applyNumberFormat="1"/>
    <xf fontId="0" fillId="5" borderId="0" numFmtId="2" xfId="0" applyNumberFormat="1" applyFill="1"/>
    <xf fontId="0" fillId="0" borderId="6" numFmtId="0" xfId="0" applyBorder="1"/>
    <xf fontId="0" fillId="0" borderId="0" numFmtId="0" xfId="0" applyAlignment="1">
      <alignment horizontal="right"/>
    </xf>
    <xf fontId="0" fillId="0" borderId="0" numFmtId="164" xfId="0" applyNumberFormat="1"/>
    <xf fontId="2" fillId="0" borderId="5" numFmtId="0" xfId="0" applyFont="1" applyBorder="1" applyAlignment="1">
      <alignment horizontal="left"/>
    </xf>
    <xf fontId="0" fillId="0" borderId="7" numFmtId="0" xfId="0" applyBorder="1"/>
    <xf fontId="0" fillId="0" borderId="8" numFmtId="164" xfId="0" applyNumberFormat="1" applyBorder="1"/>
    <xf fontId="0" fillId="0" borderId="8" numFmtId="0" xfId="0" applyBorder="1" applyAlignment="1">
      <alignment horizontal="right"/>
    </xf>
    <xf fontId="0" fillId="0" borderId="9" numFmtId="0" xfId="0" applyBorder="1"/>
    <xf fontId="0" fillId="0" borderId="0" numFmtId="0" xfId="0"/>
    <xf fontId="0" fillId="0" borderId="10" numFmtId="0" xfId="0" applyBorder="1" applyAlignment="1">
      <alignment horizontal="center"/>
      <protection hidden="0" locked="1"/>
    </xf>
    <xf fontId="0" fillId="0" borderId="11" numFmtId="0" xfId="0" applyBorder="1" applyAlignment="1">
      <alignment horizontal="center"/>
      <protection hidden="0" locked="1"/>
    </xf>
    <xf fontId="0" fillId="0" borderId="1" numFmtId="0" xfId="0" applyBorder="1">
      <protection hidden="0" locked="1"/>
    </xf>
    <xf fontId="0" fillId="0" borderId="10" numFmtId="0" xfId="0" applyBorder="1" applyAlignment="1">
      <alignment horizontal="center"/>
      <protection hidden="0" locked="1"/>
    </xf>
    <xf fontId="0" fillId="0" borderId="11" numFmtId="0" xfId="0" applyBorder="1" applyAlignment="1">
      <alignment horizontal="center"/>
      <protection hidden="0" locked="1"/>
    </xf>
    <xf fontId="0" fillId="0" borderId="1" numFmtId="0" xfId="0" applyBorder="1"/>
    <xf fontId="0" fillId="5" borderId="1" numFmtId="2" xfId="0" applyNumberFormat="1" applyFill="1" applyBorder="1"/>
    <xf fontId="0" fillId="0" borderId="1" numFmtId="2" xfId="0" applyNumberFormat="1" applyBorder="1"/>
    <xf fontId="0" fillId="0" borderId="10" numFmtId="0" xfId="0" applyBorder="1" applyAlignment="1">
      <alignment horizontal="center"/>
    </xf>
    <xf fontId="0" fillId="0" borderId="11" numFmtId="0" xfId="0" applyBorder="1" applyAlignment="1">
      <alignment horizontal="center"/>
    </xf>
    <xf fontId="0" fillId="0" borderId="10" numFmtId="0" xfId="0" applyBorder="1" applyAlignment="1">
      <alignment horizontal="center"/>
    </xf>
    <xf fontId="2" fillId="0" borderId="1" numFmtId="0" xfId="0" applyFont="1" applyBorder="1" applyAlignment="1">
      <alignment horizontal="left"/>
    </xf>
    <xf fontId="1" fillId="0" borderId="1" numFmtId="0" xfId="0" applyFont="1" applyBorder="1"/>
    <xf fontId="0" fillId="0" borderId="1" numFmtId="0" xfId="0" applyBorder="1" applyAlignment="1">
      <alignment horizontal="right"/>
    </xf>
    <xf fontId="0" fillId="0" borderId="1" numFmtId="0" xfId="0" applyBorder="1" applyAlignment="1">
      <alignment horizontal="right"/>
    </xf>
    <xf fontId="0" fillId="0" borderId="1" numFmtId="0" xfId="0" applyBorder="1"/>
    <xf fontId="0" fillId="0" borderId="1" numFmtId="166" xfId="0" applyNumberFormat="1" applyBorder="1"/>
    <xf fontId="0" fillId="0" borderId="1" numFmtId="0" xfId="0" applyBorder="1" applyAlignment="1">
      <alignment horizontal="right" wrapText="1"/>
    </xf>
    <xf fontId="0" fillId="0" borderId="1" numFmtId="0" xfId="0" applyBorder="1" applyAlignment="1">
      <alignment horizontal="right" wrapText="1"/>
    </xf>
    <xf fontId="0" fillId="0" borderId="12" numFmtId="0" xfId="0" applyBorder="1" applyAlignment="1">
      <alignment horizontal="right" wrapText="1"/>
    </xf>
    <xf fontId="0" fillId="0" borderId="13" numFmtId="0" xfId="0" applyBorder="1" applyAlignment="1">
      <alignment horizontal="right" wrapText="1"/>
    </xf>
    <xf fontId="0" fillId="0" borderId="14" numFmtId="0" xfId="0" applyBorder="1" applyAlignment="1">
      <alignment horizontal="right" wrapText="1"/>
    </xf>
    <xf fontId="0" fillId="0" borderId="1" numFmtId="9" xfId="0" applyNumberFormat="1" applyBorder="1"/>
    <xf fontId="0" fillId="0" borderId="10" numFmtId="0" xfId="0" applyBorder="1" applyAlignment="1">
      <alignment horizontal="center" wrapText="1"/>
    </xf>
    <xf fontId="0" fillId="0" borderId="15" numFmtId="0" xfId="0" applyBorder="1" applyAlignment="1">
      <alignment horizontal="center" wrapText="1"/>
    </xf>
    <xf fontId="0" fillId="0" borderId="11" numFmtId="0" xfId="0" applyBorder="1" applyAlignment="1">
      <alignment horizontal="center" wrapText="1"/>
    </xf>
    <xf fontId="0" fillId="0" borderId="13" numFmtId="0" xfId="0" applyBorder="1" applyAlignment="1">
      <alignment horizontal="right" wrapText="1"/>
    </xf>
    <xf fontId="0" fillId="0" borderId="14" numFmtId="0" xfId="0" applyBorder="1" applyAlignment="1">
      <alignment horizontal="right" wrapText="1"/>
    </xf>
    <xf fontId="0" fillId="0" borderId="1" numFmtId="166" xfId="1" applyNumberFormat="1" applyBorder="1"/>
    <xf fontId="0" fillId="0" borderId="1" numFmtId="0" xfId="0" applyBorder="1" applyAlignment="1">
      <alignment horizontal="right"/>
      <protection hidden="0" locked="1"/>
    </xf>
    <xf fontId="0" fillId="0" borderId="1" numFmtId="167" xfId="0" applyNumberFormat="1" applyBorder="1"/>
    <xf fontId="0" fillId="0" borderId="1" numFmtId="10" xfId="0" applyNumberFormat="1" applyBorder="1"/>
  </cellXfs>
  <cellStyles count="3">
    <cellStyle name="Normal" xfId="0" builtinId="0"/>
    <cellStyle name="Currency" xfId="1" builtin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zoomScale="100" workbookViewId="0">
      <selection activeCell="A1" activeCellId="0" sqref="A1"/>
    </sheetView>
  </sheetViews>
  <sheetFormatPr defaultRowHeight="14.25"/>
  <cols>
    <col customWidth="1" min="1" max="1" width="25.140625"/>
    <col customWidth="1" min="2" max="2" width="26.28125"/>
    <col customWidth="1" min="3" max="3" width="12.421875"/>
    <col customWidth="1" min="4" max="4" width="19.140625"/>
    <col customWidth="1" min="6" max="6" width="25.8515625"/>
    <col customWidth="1" min="7" max="7" width="14.28125"/>
    <col customWidth="1" min="8" max="8" width="13.28125"/>
    <col customWidth="1" min="9" max="9" width="19.421875"/>
  </cols>
  <sheetData>
    <row r="2" ht="14.25">
      <c r="A2" s="1" t="s">
        <v>0</v>
      </c>
      <c r="B2" s="1" t="s">
        <v>1</v>
      </c>
      <c r="C2" s="1" t="s">
        <v>2</v>
      </c>
      <c r="D2" s="1"/>
      <c r="E2" s="1" t="s">
        <v>3</v>
      </c>
      <c r="F2" s="1"/>
    </row>
    <row r="3" ht="14.25">
      <c r="A3" s="2" t="s">
        <v>4</v>
      </c>
      <c r="B3" s="3">
        <f>B27</f>
        <v>856977.57412496721</v>
      </c>
      <c r="C3" s="4">
        <f>B56</f>
        <v>1163089.1220159659</v>
      </c>
      <c r="D3" s="5"/>
      <c r="E3" s="4">
        <f>B41</f>
        <v>1378240</v>
      </c>
      <c r="F3" s="5"/>
    </row>
    <row r="4" ht="14.25">
      <c r="A4" s="6" t="s">
        <v>5</v>
      </c>
      <c r="B4" s="7">
        <f>evaporation/B16</f>
        <v>0.8778434712897083</v>
      </c>
      <c r="C4" s="8">
        <f>evaporation/B48</f>
        <v>0.72580645161290325</v>
      </c>
      <c r="D4" s="8"/>
      <c r="E4" s="8">
        <f>evaporation/B33</f>
        <v>0.60000000000000009</v>
      </c>
      <c r="F4" s="8"/>
    </row>
    <row r="5" ht="14.25">
      <c r="A5" s="6" t="s">
        <v>6</v>
      </c>
      <c r="B5" s="9">
        <f>B23</f>
        <v>71416</v>
      </c>
      <c r="C5" s="10">
        <f>B52</f>
        <v>47498.666666666672</v>
      </c>
      <c r="D5" s="11"/>
      <c r="E5" s="10">
        <f>B37</f>
        <v>93439.999999999971</v>
      </c>
      <c r="F5" s="11"/>
    </row>
    <row r="6" ht="14.25">
      <c r="A6" s="6" t="s">
        <v>7</v>
      </c>
      <c r="B6" s="9">
        <f>B24+B25</f>
        <v>193911.57412496716</v>
      </c>
      <c r="C6" s="10">
        <f>B53+B54</f>
        <v>210390.45534929918</v>
      </c>
      <c r="D6" s="11"/>
      <c r="E6" s="11">
        <f>0</f>
        <v>0</v>
      </c>
      <c r="F6" s="11"/>
    </row>
    <row r="7" ht="14.25">
      <c r="A7" s="6" t="s">
        <v>8</v>
      </c>
      <c r="B7" s="9">
        <f>B26</f>
        <v>591650</v>
      </c>
      <c r="C7" s="10">
        <f>B55</f>
        <v>905200</v>
      </c>
      <c r="D7" s="11"/>
      <c r="E7" s="10">
        <f>B40</f>
        <v>1284800</v>
      </c>
      <c r="F7" s="11"/>
    </row>
    <row r="8" ht="14.25">
      <c r="A8" s="12"/>
      <c r="B8" s="13"/>
      <c r="C8" s="14"/>
      <c r="D8" s="14"/>
      <c r="E8" s="14"/>
      <c r="F8" s="14"/>
    </row>
    <row r="9" ht="14.25">
      <c r="A9" s="15" t="s">
        <v>9</v>
      </c>
      <c r="B9" s="15"/>
      <c r="C9" s="15"/>
      <c r="D9" s="15"/>
      <c r="E9" s="15"/>
      <c r="F9" s="15"/>
      <c r="G9" s="15"/>
      <c r="H9" s="15"/>
    </row>
    <row r="11" ht="14.25">
      <c r="A11" s="16" t="s">
        <v>10</v>
      </c>
      <c r="B11" s="17" t="s">
        <v>11</v>
      </c>
      <c r="C11" s="18"/>
      <c r="D11" s="19"/>
    </row>
    <row r="12" ht="14.25">
      <c r="A12" s="20" t="s">
        <v>12</v>
      </c>
      <c r="B12" s="21">
        <v>3.1899999999999999</v>
      </c>
      <c r="C12" s="22">
        <f>cl_limit/cl_mu/(B16/B15)</f>
        <v>3.1967130975047597</v>
      </c>
      <c r="D12" s="23" t="s">
        <v>13</v>
      </c>
    </row>
    <row r="13" ht="14.25">
      <c r="A13" s="20" t="s">
        <v>14</v>
      </c>
      <c r="B13" s="24">
        <f>hrd_mu*B12*B16/B15</f>
        <v>249.47499999999999</v>
      </c>
      <c r="C13" s="25" t="s">
        <v>15</v>
      </c>
      <c r="D13" s="23"/>
    </row>
    <row r="14" ht="14.25">
      <c r="A14" s="20" t="s">
        <v>16</v>
      </c>
      <c r="B14" s="24">
        <f>cl_mu*B12*B16/B15</f>
        <v>199.58000000000001</v>
      </c>
      <c r="C14" s="25" t="s">
        <v>17</v>
      </c>
      <c r="D14" s="23"/>
    </row>
    <row r="15" ht="14.25">
      <c r="A15" s="20" t="s">
        <v>18</v>
      </c>
      <c r="B15" s="26">
        <f>evaporation*(B12)/(B12-1)</f>
        <v>145.662100456621</v>
      </c>
      <c r="C15" s="25" t="s">
        <v>19</v>
      </c>
      <c r="D15" s="23"/>
    </row>
    <row r="16" ht="14.25">
      <c r="A16" s="20" t="s">
        <v>20</v>
      </c>
      <c r="B16" s="27">
        <f>B15-B19</f>
        <v>113.91552511415526</v>
      </c>
      <c r="C16" s="25" t="s">
        <v>19</v>
      </c>
      <c r="D16" s="28"/>
    </row>
    <row r="17" ht="14.25">
      <c r="A17" t="s">
        <v>21</v>
      </c>
      <c r="B17" s="26">
        <f>drift</f>
        <v>3.3333333333333335</v>
      </c>
      <c r="C17" s="29" t="s">
        <v>19</v>
      </c>
    </row>
    <row r="18" ht="14.25">
      <c r="A18" s="20" t="s">
        <v>22</v>
      </c>
      <c r="B18" s="26">
        <f>B15-evaporation-drift</f>
        <v>42.328767123287669</v>
      </c>
      <c r="C18" s="25" t="s">
        <v>19</v>
      </c>
      <c r="D18" s="28"/>
    </row>
    <row r="19" ht="14.25">
      <c r="A19" s="20" t="s">
        <v>23</v>
      </c>
      <c r="B19" s="26">
        <f>B18*rec_bd</f>
        <v>31.746575342465754</v>
      </c>
      <c r="C19" s="25" t="s">
        <v>19</v>
      </c>
      <c r="D19" s="28"/>
    </row>
    <row r="20" ht="14.25">
      <c r="A20" s="20" t="s">
        <v>24</v>
      </c>
      <c r="B20" s="26">
        <f>B18-B19</f>
        <v>10.582191780821915</v>
      </c>
      <c r="C20" s="29" t="s">
        <v>19</v>
      </c>
      <c r="D20" s="28"/>
    </row>
    <row r="21" ht="14.25">
      <c r="A21" s="20" t="s">
        <v>25</v>
      </c>
      <c r="B21" s="30">
        <f>B18*ro_bd_price</f>
        <v>634931.50684931502</v>
      </c>
      <c r="C21" s="25" t="s">
        <v>26</v>
      </c>
      <c r="D21" s="28"/>
    </row>
    <row r="22" ht="14.25">
      <c r="A22" s="20" t="s">
        <v>27</v>
      </c>
      <c r="B22" s="27">
        <f>B20</f>
        <v>10.582191780821915</v>
      </c>
      <c r="C22" s="29" t="s">
        <v>19</v>
      </c>
      <c r="D22" s="28"/>
    </row>
    <row r="23" ht="14.25">
      <c r="A23" s="20" t="s">
        <v>6</v>
      </c>
      <c r="B23" s="30">
        <f>((B18+drift)*normal_dosage*normal_cost+B18*bd_antiscale_dosage*antiscale_cost)*8760/1000</f>
        <v>71416</v>
      </c>
      <c r="C23" s="25" t="s">
        <v>28</v>
      </c>
      <c r="D23" s="28"/>
    </row>
    <row r="24" ht="14.25">
      <c r="A24" s="20" t="s">
        <v>29</v>
      </c>
      <c r="B24" s="30">
        <f>mt_equip*B21</f>
        <v>63493.150684931505</v>
      </c>
      <c r="C24" s="25" t="s">
        <v>28</v>
      </c>
      <c r="D24" s="28"/>
    </row>
    <row r="25" ht="15">
      <c r="A25" s="31" t="s">
        <v>30</v>
      </c>
      <c r="B25" s="30">
        <f>-PMT(interest,ammortization,B21)</f>
        <v>130418.42344003567</v>
      </c>
      <c r="C25" s="25" t="s">
        <v>28</v>
      </c>
      <c r="D25" s="28"/>
    </row>
    <row r="26" ht="14.25">
      <c r="A26" s="20" t="s">
        <v>31</v>
      </c>
      <c r="B26" s="30">
        <f>(B16*mu_price+B22*bd_price)*8760</f>
        <v>591650</v>
      </c>
      <c r="C26" s="25" t="s">
        <v>28</v>
      </c>
      <c r="D26" s="28"/>
    </row>
    <row r="27" ht="14.25">
      <c r="A27" s="32" t="s">
        <v>32</v>
      </c>
      <c r="B27" s="33">
        <f>B26+B25+B24+B23</f>
        <v>856977.57412496721</v>
      </c>
      <c r="C27" s="34" t="s">
        <v>28</v>
      </c>
      <c r="D27" s="35"/>
      <c r="F27" s="36"/>
      <c r="G27" s="36"/>
      <c r="H27" s="36"/>
      <c r="I27" s="36"/>
    </row>
    <row r="28" ht="14.25">
      <c r="F28" s="36"/>
      <c r="G28" s="36"/>
      <c r="H28" s="36"/>
      <c r="I28" s="36"/>
    </row>
    <row r="29" ht="14.25">
      <c r="A29" s="6" t="s">
        <v>10</v>
      </c>
      <c r="B29" s="1" t="s">
        <v>3</v>
      </c>
      <c r="C29" s="6"/>
      <c r="D29" s="6"/>
      <c r="F29" s="36"/>
      <c r="G29" s="36"/>
      <c r="H29" s="36"/>
      <c r="I29" s="36"/>
    </row>
    <row r="30" ht="14.25">
      <c r="A30" s="6" t="s">
        <v>12</v>
      </c>
      <c r="B30" s="2">
        <f>cl_limit/cl_mu</f>
        <v>2.5</v>
      </c>
      <c r="C30" s="37"/>
      <c r="D30" s="38"/>
    </row>
    <row r="31" ht="14.25">
      <c r="A31" s="6" t="s">
        <v>14</v>
      </c>
      <c r="B31" s="39">
        <f>hrd_mu*B30</f>
        <v>250</v>
      </c>
      <c r="C31" s="40" t="s">
        <v>33</v>
      </c>
      <c r="D31" s="41"/>
    </row>
    <row r="32" ht="14.25">
      <c r="A32" s="6" t="s">
        <v>16</v>
      </c>
      <c r="B32" s="39">
        <f>cl_mu*B30</f>
        <v>200</v>
      </c>
      <c r="C32" s="40" t="s">
        <v>17</v>
      </c>
      <c r="D32" s="41"/>
    </row>
    <row r="33" ht="14.25">
      <c r="A33" s="42" t="s">
        <v>34</v>
      </c>
      <c r="B33" s="43">
        <f>evaporation*B30/(B30-1)</f>
        <v>166.66666666666666</v>
      </c>
      <c r="C33" s="40" t="s">
        <v>19</v>
      </c>
      <c r="D33" s="38"/>
    </row>
    <row r="34" ht="14.25">
      <c r="A34" s="6" t="s">
        <v>22</v>
      </c>
      <c r="B34" s="44">
        <f>B33/B30</f>
        <v>66.666666666666657</v>
      </c>
      <c r="C34" s="40" t="s">
        <v>19</v>
      </c>
      <c r="D34" s="41"/>
    </row>
    <row r="35" ht="14.25">
      <c r="A35" s="6" t="s">
        <v>25</v>
      </c>
      <c r="B35" s="9">
        <v>0</v>
      </c>
      <c r="C35" s="39"/>
      <c r="D35" s="6"/>
    </row>
    <row r="36" ht="14.25">
      <c r="A36" s="6" t="s">
        <v>27</v>
      </c>
      <c r="B36" s="43">
        <f>B34-drift</f>
        <v>63.333333333333321</v>
      </c>
      <c r="C36" s="45" t="s">
        <v>35</v>
      </c>
      <c r="D36" s="46"/>
    </row>
    <row r="37" ht="14.25">
      <c r="A37" s="6" t="s">
        <v>6</v>
      </c>
      <c r="B37" s="9">
        <f>normal_cost*normal_dosage*B34*8.76</f>
        <v>93439.999999999971</v>
      </c>
      <c r="C37" s="47" t="s">
        <v>36</v>
      </c>
      <c r="D37" s="46"/>
    </row>
    <row r="38" ht="14.25">
      <c r="A38" s="6" t="s">
        <v>29</v>
      </c>
      <c r="B38" s="9">
        <v>0</v>
      </c>
      <c r="C38" s="39"/>
      <c r="D38" s="6"/>
    </row>
    <row r="39" ht="15">
      <c r="A39" s="48" t="s">
        <v>30</v>
      </c>
      <c r="B39" s="9">
        <v>0</v>
      </c>
      <c r="C39" s="39"/>
      <c r="D39" s="6"/>
    </row>
    <row r="40" ht="14.25">
      <c r="A40" s="6" t="s">
        <v>31</v>
      </c>
      <c r="B40" s="9">
        <f>B33*8760*mu_price+B36*8760*bd_price</f>
        <v>1284800</v>
      </c>
      <c r="C40" s="39"/>
      <c r="D40" s="6"/>
    </row>
    <row r="41" ht="14.25">
      <c r="A41" s="6" t="s">
        <v>32</v>
      </c>
      <c r="B41" s="9">
        <f>B40+B37</f>
        <v>1378240</v>
      </c>
      <c r="C41" s="39"/>
      <c r="D41" s="6"/>
    </row>
    <row r="43" ht="14.25">
      <c r="A43" s="49" t="s">
        <v>37</v>
      </c>
      <c r="B43" s="1" t="s">
        <v>38</v>
      </c>
      <c r="C43" s="1"/>
      <c r="D43" s="1"/>
    </row>
    <row r="44" ht="14.25">
      <c r="A44" s="6" t="s">
        <v>12</v>
      </c>
      <c r="B44" s="6">
        <f>(evaporation+drift)/drift</f>
        <v>30.999999999999996</v>
      </c>
      <c r="C44" s="50"/>
      <c r="D44" s="6"/>
    </row>
    <row r="45" ht="14.25">
      <c r="A45" s="6" t="s">
        <v>14</v>
      </c>
      <c r="B45" s="6">
        <f>hrd_mu*B44*hrd_passage</f>
        <v>30.999999999999996</v>
      </c>
      <c r="C45" s="51" t="s">
        <v>15</v>
      </c>
      <c r="D45" s="6"/>
    </row>
    <row r="46" ht="14.25">
      <c r="A46" s="6" t="s">
        <v>16</v>
      </c>
      <c r="B46" s="6">
        <f>cl_mu*B44*cl_passage</f>
        <v>49.599999999999994</v>
      </c>
      <c r="C46" s="51" t="s">
        <v>17</v>
      </c>
      <c r="D46" s="6"/>
    </row>
    <row r="47" ht="14.25">
      <c r="A47" s="6" t="s">
        <v>18</v>
      </c>
      <c r="B47" s="44">
        <f>evaporation+drift</f>
        <v>103.33333333333333</v>
      </c>
      <c r="C47" s="50" t="s">
        <v>19</v>
      </c>
      <c r="D47" s="6"/>
    </row>
    <row r="48" ht="14.25">
      <c r="A48" s="6" t="s">
        <v>20</v>
      </c>
      <c r="B48" s="43">
        <f>B47/rec_mu</f>
        <v>137.77777777777777</v>
      </c>
      <c r="C48" s="51" t="s">
        <v>19</v>
      </c>
      <c r="D48" s="6"/>
    </row>
    <row r="49" ht="14.25">
      <c r="A49" s="6" t="s">
        <v>21</v>
      </c>
      <c r="B49" s="44">
        <f>drift</f>
        <v>3.3333333333333335</v>
      </c>
      <c r="C49" s="51" t="s">
        <v>19</v>
      </c>
      <c r="D49" s="6"/>
    </row>
    <row r="50" ht="14.25">
      <c r="A50" s="6" t="s">
        <v>39</v>
      </c>
      <c r="B50" s="9">
        <f>ro_mu_price*B48</f>
        <v>688888.88888888888</v>
      </c>
      <c r="C50" s="51" t="s">
        <v>26</v>
      </c>
      <c r="D50" s="6"/>
    </row>
    <row r="51" ht="14.25">
      <c r="A51" s="42" t="s">
        <v>27</v>
      </c>
      <c r="B51" s="43">
        <f>B48-B47</f>
        <v>34.444444444444443</v>
      </c>
      <c r="C51" s="50" t="s">
        <v>19</v>
      </c>
      <c r="D51" s="6"/>
    </row>
    <row r="52" ht="14.25">
      <c r="A52" s="6" t="s">
        <v>6</v>
      </c>
      <c r="B52" s="9">
        <f>(B48*antiscale_cost*antiscale_dosage+B49*zld_cost*zld_dosage)*8.76</f>
        <v>47498.666666666672</v>
      </c>
      <c r="C52" s="50" t="s">
        <v>28</v>
      </c>
      <c r="D52" s="6"/>
    </row>
    <row r="53" ht="14.25">
      <c r="A53" s="6" t="s">
        <v>29</v>
      </c>
      <c r="B53" s="9">
        <f>mt_equip*B50</f>
        <v>68888.888888888891</v>
      </c>
      <c r="C53" s="50" t="s">
        <v>28</v>
      </c>
      <c r="D53" s="6"/>
    </row>
    <row r="54" ht="15">
      <c r="A54" s="48" t="s">
        <v>30</v>
      </c>
      <c r="B54" s="9">
        <f>-PMT(interest,ammortization,B50)</f>
        <v>141501.56646041028</v>
      </c>
      <c r="C54" s="50" t="s">
        <v>28</v>
      </c>
      <c r="D54" s="6"/>
    </row>
    <row r="55" ht="14.25">
      <c r="A55" s="6" t="s">
        <v>31</v>
      </c>
      <c r="B55" s="9">
        <f>(B48*mu_price+B51*bd_price)*8760</f>
        <v>905200</v>
      </c>
      <c r="C55" s="51" t="s">
        <v>28</v>
      </c>
      <c r="D55" s="6"/>
    </row>
    <row r="56" ht="14.25">
      <c r="A56" s="52" t="s">
        <v>32</v>
      </c>
      <c r="B56" s="9">
        <f>B52+B53+B54+B55</f>
        <v>1163089.1220159659</v>
      </c>
      <c r="C56" s="50" t="s">
        <v>28</v>
      </c>
      <c r="D56" s="52"/>
    </row>
  </sheetData>
  <mergeCells count="22"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C7:D7"/>
    <mergeCell ref="E7:F7"/>
    <mergeCell ref="A9:H9"/>
    <mergeCell ref="D12:D15"/>
    <mergeCell ref="C30:D30"/>
    <mergeCell ref="C31:D31"/>
    <mergeCell ref="C32:D32"/>
    <mergeCell ref="C33:D33"/>
    <mergeCell ref="C34:D34"/>
    <mergeCell ref="C36:D36"/>
    <mergeCell ref="C37:D37"/>
    <mergeCell ref="B43:D43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rowBreaks count="1" manualBreakCount="1">
    <brk id="56" man="1" max="16383" pt="1"/>
  </rowBreaks>
  <colBreaks count="2" manualBreakCount="2">
    <brk id="6" man="1" max="1048575"/>
    <brk id="8" man="1" max="1048575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5.8515625"/>
    <col customWidth="1" min="3" max="3" width="20.28125"/>
    <col customWidth="1" min="6" max="6" width="35.140625"/>
  </cols>
  <sheetData>
    <row r="2" ht="14.25">
      <c r="B2" s="1" t="s">
        <v>40</v>
      </c>
      <c r="C2" s="1"/>
      <c r="D2" s="1"/>
      <c r="E2" s="1"/>
      <c r="F2" s="1"/>
    </row>
    <row r="3" ht="12.5" customHeight="1">
      <c r="B3" s="42" t="s">
        <v>41</v>
      </c>
      <c r="C3" s="53">
        <v>5000</v>
      </c>
      <c r="D3" s="54" t="s">
        <v>42</v>
      </c>
      <c r="E3" s="55"/>
      <c r="F3" s="55"/>
    </row>
    <row r="4" ht="12.5" customHeight="1">
      <c r="B4" s="42" t="s">
        <v>43</v>
      </c>
      <c r="C4" s="53">
        <v>15000</v>
      </c>
      <c r="D4" s="56" t="s">
        <v>44</v>
      </c>
      <c r="E4" s="57"/>
      <c r="F4" s="58"/>
    </row>
    <row r="5" ht="12.5" customHeight="1">
      <c r="B5" s="42" t="s">
        <v>45</v>
      </c>
      <c r="C5" s="59">
        <v>0.75</v>
      </c>
      <c r="D5" s="55"/>
      <c r="E5" s="55"/>
      <c r="F5" s="55"/>
    </row>
    <row r="6" ht="12.5" customHeight="1">
      <c r="B6" s="42" t="s">
        <v>46</v>
      </c>
      <c r="C6" s="59">
        <v>0.75</v>
      </c>
      <c r="D6" s="55"/>
      <c r="E6" s="55"/>
      <c r="F6" s="55"/>
    </row>
    <row r="7" ht="12.5" customHeight="1">
      <c r="B7" s="6" t="s">
        <v>47</v>
      </c>
      <c r="C7" s="39">
        <v>200</v>
      </c>
      <c r="D7" s="54" t="s">
        <v>48</v>
      </c>
      <c r="E7" s="55"/>
      <c r="F7" s="55"/>
    </row>
    <row r="8" ht="12.5" customHeight="1">
      <c r="B8" s="6"/>
      <c r="C8" s="39">
        <v>40</v>
      </c>
      <c r="D8" s="60" t="s">
        <v>49</v>
      </c>
      <c r="E8" s="61"/>
      <c r="F8" s="62"/>
    </row>
    <row r="9" ht="12.5" customHeight="1">
      <c r="B9" s="39"/>
      <c r="C9" s="39">
        <v>5</v>
      </c>
      <c r="D9" s="54" t="s">
        <v>50</v>
      </c>
      <c r="E9" s="55"/>
      <c r="F9" s="55"/>
    </row>
    <row r="10" ht="12.5" customHeight="1">
      <c r="B10" s="39"/>
      <c r="C10" s="39">
        <v>5</v>
      </c>
      <c r="D10" s="56" t="s">
        <v>51</v>
      </c>
      <c r="E10" s="63"/>
      <c r="F10" s="64"/>
    </row>
    <row r="11" ht="12.5" customHeight="1">
      <c r="B11" s="6" t="s">
        <v>52</v>
      </c>
      <c r="C11" s="53">
        <v>4</v>
      </c>
      <c r="D11" s="60" t="s">
        <v>53</v>
      </c>
      <c r="E11" s="61"/>
      <c r="F11" s="62"/>
    </row>
    <row r="12" ht="12.5" customHeight="1">
      <c r="B12" s="39"/>
      <c r="C12" s="53">
        <v>4</v>
      </c>
      <c r="D12" s="60" t="s">
        <v>54</v>
      </c>
      <c r="E12" s="61"/>
      <c r="F12" s="62"/>
    </row>
    <row r="13" ht="12.5" customHeight="1">
      <c r="C13" s="53">
        <v>4</v>
      </c>
      <c r="D13" s="54" t="s">
        <v>55</v>
      </c>
      <c r="E13" s="55"/>
      <c r="F13" s="55"/>
    </row>
    <row r="14" ht="12.5" customHeight="1">
      <c r="B14" s="6" t="s">
        <v>29</v>
      </c>
      <c r="C14" s="59">
        <v>0.10000000000000001</v>
      </c>
      <c r="D14" s="55" t="s">
        <v>56</v>
      </c>
      <c r="E14" s="55"/>
      <c r="F14" s="55"/>
    </row>
    <row r="15" ht="12.5" customHeight="1">
      <c r="B15" s="42" t="s">
        <v>57</v>
      </c>
      <c r="C15" s="39">
        <v>7</v>
      </c>
      <c r="D15" s="55" t="s">
        <v>58</v>
      </c>
      <c r="E15" s="55"/>
      <c r="F15" s="55"/>
    </row>
    <row r="16" ht="12.5" customHeight="1">
      <c r="B16" s="6" t="s">
        <v>59</v>
      </c>
      <c r="C16" s="59">
        <v>0.10000000000000001</v>
      </c>
      <c r="D16" s="55"/>
      <c r="E16" s="55"/>
      <c r="F16" s="55"/>
    </row>
    <row r="17" ht="12.5" customHeight="1">
      <c r="B17" s="6" t="s">
        <v>60</v>
      </c>
      <c r="C17" s="65">
        <v>0.5</v>
      </c>
      <c r="D17" s="55"/>
      <c r="E17" s="55"/>
      <c r="F17" s="55"/>
    </row>
    <row r="18" ht="12.5" customHeight="1">
      <c r="B18" s="6" t="s">
        <v>61</v>
      </c>
      <c r="C18" s="65">
        <v>1</v>
      </c>
      <c r="D18" s="55"/>
      <c r="E18" s="55"/>
      <c r="F18" s="55"/>
    </row>
  </sheetData>
  <mergeCells count="17">
    <mergeCell ref="B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20.57421875"/>
    <col customWidth="1" min="4" max="4" width="27.421875"/>
  </cols>
  <sheetData>
    <row r="2">
      <c r="B2" s="1" t="s">
        <v>62</v>
      </c>
      <c r="C2" s="1"/>
      <c r="D2" s="1"/>
    </row>
    <row r="3">
      <c r="B3" s="6" t="s">
        <v>63</v>
      </c>
      <c r="C3" s="39">
        <v>100</v>
      </c>
      <c r="D3" s="51" t="s">
        <v>19</v>
      </c>
    </row>
    <row r="4">
      <c r="B4" s="42" t="s">
        <v>64</v>
      </c>
      <c r="C4" s="39">
        <v>100</v>
      </c>
      <c r="D4" s="50" t="s">
        <v>33</v>
      </c>
    </row>
    <row r="5">
      <c r="B5" s="42" t="s">
        <v>65</v>
      </c>
      <c r="C5" s="39">
        <v>80</v>
      </c>
      <c r="D5" s="50" t="s">
        <v>17</v>
      </c>
    </row>
    <row r="6">
      <c r="B6" s="42" t="s">
        <v>66</v>
      </c>
      <c r="C6" s="6" t="s">
        <v>67</v>
      </c>
      <c r="D6" s="66">
        <v>200</v>
      </c>
    </row>
    <row r="7">
      <c r="B7" s="6" t="s">
        <v>68</v>
      </c>
      <c r="C7" s="59">
        <v>0.02</v>
      </c>
      <c r="D7" s="50"/>
    </row>
    <row r="8">
      <c r="B8" s="6" t="s">
        <v>69</v>
      </c>
      <c r="C8" s="59">
        <v>0.01</v>
      </c>
      <c r="D8" s="50"/>
    </row>
    <row r="9">
      <c r="B9" s="42" t="s">
        <v>70</v>
      </c>
      <c r="C9" s="44">
        <v>10</v>
      </c>
      <c r="D9" s="50" t="s">
        <v>71</v>
      </c>
    </row>
    <row r="10">
      <c r="B10" s="42" t="s">
        <v>72</v>
      </c>
      <c r="C10" s="67">
        <v>0.0015</v>
      </c>
      <c r="D10" s="50"/>
    </row>
    <row r="11">
      <c r="B11" s="6" t="s">
        <v>73</v>
      </c>
      <c r="C11" s="6">
        <f>C3/C10/C9</f>
        <v>6666.666666666667</v>
      </c>
      <c r="D11" s="51" t="s">
        <v>19</v>
      </c>
    </row>
    <row r="12">
      <c r="B12" s="6" t="s">
        <v>21</v>
      </c>
      <c r="C12" s="68">
        <v>0.00050000000000000001</v>
      </c>
      <c r="D12" s="50"/>
    </row>
    <row r="13">
      <c r="B13" s="6"/>
      <c r="C13" s="6">
        <f>C11*C12</f>
        <v>3.3333333333333335</v>
      </c>
      <c r="D13" s="50"/>
    </row>
  </sheetData>
  <mergeCells count="1">
    <mergeCell ref="B2:D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2026-06-02T14:35:57Z</dcterms:modified>
</cp:coreProperties>
</file>